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nrad2020\Documents\scratchPad\CompareCalculation\Excel\"/>
    </mc:Choice>
  </mc:AlternateContent>
  <xr:revisionPtr revIDLastSave="0" documentId="13_ncr:1_{8F773FCC-87EE-43C1-857A-9C821CE2C543}" xr6:coauthVersionLast="47" xr6:coauthVersionMax="47" xr10:uidLastSave="{00000000-0000-0000-0000-000000000000}"/>
  <bookViews>
    <workbookView xWindow="-120" yWindow="-120" windowWidth="20730" windowHeight="11160" firstSheet="6" activeTab="7" xr2:uid="{00000000-000D-0000-FFFF-FFFF00000000}"/>
  </bookViews>
  <sheets>
    <sheet name="Version1" sheetId="1" r:id="rId1"/>
    <sheet name="Version1B" sheetId="7" r:id="rId2"/>
    <sheet name="Version2" sheetId="2" r:id="rId3"/>
    <sheet name="Version3" sheetId="3" r:id="rId4"/>
    <sheet name="Version4" sheetId="4" r:id="rId5"/>
    <sheet name="Version5" sheetId="5" r:id="rId6"/>
    <sheet name="Version6" sheetId="6" r:id="rId7"/>
    <sheet name="Version20" sheetId="8" r:id="rId8"/>
    <sheet name="Chart2" sheetId="10" r:id="rId9"/>
    <sheet name="Version100" sheetId="11" r:id="rId10"/>
  </sheets>
  <functionGroups builtInGroupCount="19"/>
  <definedNames>
    <definedName name="Cpe" localSheetId="1">Version1B!$B$1</definedName>
    <definedName name="Cpe" localSheetId="3">Version3!$C$1</definedName>
    <definedName name="Cpe" localSheetId="4">Version4!$C$1</definedName>
    <definedName name="Cpe" localSheetId="5">Version5!$B$1</definedName>
    <definedName name="Cpe">Version2!$C$1</definedName>
    <definedName name="L" localSheetId="1">Version1B!$B$5</definedName>
    <definedName name="L" localSheetId="3">Version3!$C$12</definedName>
    <definedName name="L" localSheetId="4">Version4!$C$12</definedName>
    <definedName name="L" localSheetId="5">Version5!$B$4</definedName>
    <definedName name="L">Version2!$C$6</definedName>
    <definedName name="M" localSheetId="1">Version1B!$B$6</definedName>
    <definedName name="M" localSheetId="3">Version3!$C$15</definedName>
    <definedName name="M" localSheetId="4">Version4!$C$15</definedName>
    <definedName name="M">Version2!$C$7</definedName>
    <definedName name="pn" localSheetId="1">Version1B!$B$3</definedName>
    <definedName name="pn" localSheetId="3">Version3!$C$5</definedName>
    <definedName name="pn" localSheetId="4">Version4!$C$5</definedName>
    <definedName name="pn">Version2!$C$3</definedName>
    <definedName name="qz" localSheetId="1">Version1B!$B$2</definedName>
    <definedName name="qz" localSheetId="3">Version3!$C$2</definedName>
    <definedName name="qz" localSheetId="4">Version4!$C$2</definedName>
    <definedName name="qz" localSheetId="5">Version5!$B$2</definedName>
    <definedName name="qz">Version2!$C$2</definedName>
    <definedName name="s" localSheetId="3">Version3!$C$7</definedName>
    <definedName name="s" localSheetId="4">Version4!$C$7</definedName>
    <definedName name="s" localSheetId="5">Version5!$B$3</definedName>
    <definedName name="s">Version2!$C$4</definedName>
    <definedName name="w" localSheetId="1">Version1B!$B$4</definedName>
    <definedName name="w" localSheetId="3">Version3!$C$10</definedName>
    <definedName name="w" localSheetId="4">Version4!$C$10</definedName>
    <definedName name="w">Version2!$C$5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5" i="8" l="1"/>
  <c r="D36" i="8" s="1"/>
  <c r="D37" i="8" s="1"/>
  <c r="D38" i="8" s="1"/>
  <c r="D39" i="8" s="1"/>
  <c r="D40" i="8" s="1"/>
  <c r="D41" i="8" s="1"/>
  <c r="D42" i="8" s="1"/>
  <c r="D43" i="8" s="1"/>
  <c r="D34" i="8"/>
  <c r="F33" i="8"/>
  <c r="F34" i="8" s="1"/>
  <c r="F35" i="8" s="1"/>
  <c r="F36" i="8" s="1"/>
  <c r="F37" i="8" s="1"/>
  <c r="F38" i="8" s="1"/>
  <c r="F39" i="8" s="1"/>
  <c r="F40" i="8" s="1"/>
  <c r="F41" i="8" s="1"/>
  <c r="F42" i="8" s="1"/>
  <c r="F43" i="8" s="1"/>
  <c r="D33" i="8"/>
  <c r="B33" i="8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A33" i="8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C32" i="8"/>
  <c r="C33" i="8" s="1"/>
  <c r="C34" i="8" s="1"/>
  <c r="C35" i="8" s="1"/>
  <c r="C36" i="8" s="1"/>
  <c r="C37" i="8" s="1"/>
  <c r="C38" i="8" s="1"/>
  <c r="C39" i="8" s="1"/>
  <c r="C40" i="8" s="1"/>
  <c r="C41" i="8" s="1"/>
  <c r="C42" i="8" s="1"/>
  <c r="C43" i="8" s="1"/>
  <c r="D21" i="8"/>
  <c r="D22" i="8" s="1"/>
  <c r="D23" i="8" s="1"/>
  <c r="D24" i="8" s="1"/>
  <c r="D25" i="8" s="1"/>
  <c r="D26" i="8" s="1"/>
  <c r="D27" i="8" s="1"/>
  <c r="D28" i="8" s="1"/>
  <c r="D29" i="8" s="1"/>
  <c r="D20" i="8"/>
  <c r="F19" i="8"/>
  <c r="F20" i="8" s="1"/>
  <c r="F21" i="8" s="1"/>
  <c r="F22" i="8" s="1"/>
  <c r="F23" i="8" s="1"/>
  <c r="F24" i="8" s="1"/>
  <c r="F25" i="8" s="1"/>
  <c r="F26" i="8" s="1"/>
  <c r="F27" i="8" s="1"/>
  <c r="F28" i="8" s="1"/>
  <c r="F29" i="8" s="1"/>
  <c r="D19" i="8"/>
  <c r="B19" i="8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A19" i="8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C18" i="8"/>
  <c r="C19" i="8" s="1"/>
  <c r="C20" i="8" s="1"/>
  <c r="C21" i="8" s="1"/>
  <c r="C22" i="8" s="1"/>
  <c r="C23" i="8" s="1"/>
  <c r="C24" i="8" s="1"/>
  <c r="C25" i="8" s="1"/>
  <c r="C26" i="8" s="1"/>
  <c r="C27" i="8" s="1"/>
  <c r="C28" i="8" s="1"/>
  <c r="C29" i="8" s="1"/>
  <c r="G4" i="8"/>
  <c r="G5" i="8"/>
  <c r="G6" i="8"/>
  <c r="G7" i="8"/>
  <c r="G8" i="8"/>
  <c r="G9" i="8"/>
  <c r="G10" i="8"/>
  <c r="G11" i="8"/>
  <c r="G12" i="8"/>
  <c r="G13" i="8"/>
  <c r="G14" i="8"/>
  <c r="G3" i="8"/>
  <c r="A5" i="8"/>
  <c r="B5" i="8"/>
  <c r="C5" i="8"/>
  <c r="D5" i="8"/>
  <c r="D6" i="8" s="1"/>
  <c r="D7" i="8" s="1"/>
  <c r="D8" i="8" s="1"/>
  <c r="D9" i="8" s="1"/>
  <c r="D10" i="8" s="1"/>
  <c r="D11" i="8" s="1"/>
  <c r="D12" i="8" s="1"/>
  <c r="D13" i="8" s="1"/>
  <c r="D14" i="8" s="1"/>
  <c r="E5" i="8"/>
  <c r="A6" i="8"/>
  <c r="B6" i="8"/>
  <c r="C6" i="8"/>
  <c r="C7" i="8" s="1"/>
  <c r="C8" i="8" s="1"/>
  <c r="C9" i="8" s="1"/>
  <c r="C10" i="8" s="1"/>
  <c r="C11" i="8" s="1"/>
  <c r="C12" i="8" s="1"/>
  <c r="C13" i="8" s="1"/>
  <c r="C14" i="8" s="1"/>
  <c r="E6" i="8"/>
  <c r="A7" i="8"/>
  <c r="B7" i="8"/>
  <c r="B8" i="8" s="1"/>
  <c r="B9" i="8" s="1"/>
  <c r="B10" i="8" s="1"/>
  <c r="B11" i="8" s="1"/>
  <c r="B12" i="8" s="1"/>
  <c r="B13" i="8" s="1"/>
  <c r="B14" i="8" s="1"/>
  <c r="E7" i="8"/>
  <c r="A8" i="8"/>
  <c r="A9" i="8" s="1"/>
  <c r="A10" i="8" s="1"/>
  <c r="A11" i="8" s="1"/>
  <c r="A12" i="8" s="1"/>
  <c r="A13" i="8" s="1"/>
  <c r="A14" i="8" s="1"/>
  <c r="E8" i="8"/>
  <c r="E9" i="8" s="1"/>
  <c r="E10" i="8" s="1"/>
  <c r="E11" i="8" s="1"/>
  <c r="E12" i="8" s="1"/>
  <c r="E13" i="8" s="1"/>
  <c r="E14" i="8" s="1"/>
  <c r="B4" i="8"/>
  <c r="C4" i="8"/>
  <c r="D4" i="8"/>
  <c r="E4" i="8"/>
  <c r="A4" i="8"/>
  <c r="E3" i="8"/>
  <c r="C3" i="8"/>
  <c r="F4" i="8"/>
  <c r="F5" i="8" s="1"/>
  <c r="F6" i="8" s="1"/>
  <c r="F7" i="8" s="1"/>
  <c r="F8" i="8" s="1"/>
  <c r="F9" i="8" s="1"/>
  <c r="F10" i="8" s="1"/>
  <c r="F11" i="8" s="1"/>
  <c r="F12" i="8" s="1"/>
  <c r="F13" i="8" s="1"/>
  <c r="F14" i="8" s="1"/>
  <c r="B6" i="7"/>
  <c r="B3" i="7"/>
  <c r="B4" i="7" s="1"/>
  <c r="E32" i="8" l="1"/>
  <c r="E18" i="8"/>
  <c r="E3" i="6"/>
  <c r="B3" i="6"/>
  <c r="B12" i="6"/>
  <c r="B6" i="6"/>
  <c r="B9" i="6"/>
  <c r="E33" i="8" l="1"/>
  <c r="G32" i="8"/>
  <c r="E19" i="8"/>
  <c r="G18" i="8"/>
  <c r="C5" i="4"/>
  <c r="C10" i="4" s="1"/>
  <c r="C15" i="4" s="1"/>
  <c r="C5" i="3"/>
  <c r="C10" i="3" s="1"/>
  <c r="C15" i="3" s="1"/>
  <c r="C3" i="2"/>
  <c r="C5" i="2" s="1"/>
  <c r="C7" i="2" s="1"/>
  <c r="B5" i="5"/>
  <c r="E34" i="8" l="1"/>
  <c r="G33" i="8"/>
  <c r="G19" i="8"/>
  <c r="E20" i="8"/>
  <c r="B3" i="1"/>
  <c r="B4" i="1" s="1"/>
  <c r="B6" i="1" s="1"/>
  <c r="E35" i="8" l="1"/>
  <c r="G34" i="8"/>
  <c r="G20" i="8"/>
  <c r="E21" i="8"/>
  <c r="G35" i="8" l="1"/>
  <c r="E36" i="8"/>
  <c r="G21" i="8"/>
  <c r="E22" i="8"/>
  <c r="E37" i="8" l="1"/>
  <c r="G36" i="8"/>
  <c r="E23" i="8"/>
  <c r="G22" i="8"/>
  <c r="G37" i="8" l="1"/>
  <c r="E38" i="8"/>
  <c r="E24" i="8"/>
  <c r="G23" i="8"/>
  <c r="E39" i="8" l="1"/>
  <c r="G38" i="8"/>
  <c r="E25" i="8"/>
  <c r="G24" i="8"/>
  <c r="G39" i="8" l="1"/>
  <c r="E40" i="8"/>
  <c r="G25" i="8"/>
  <c r="E26" i="8"/>
  <c r="E41" i="8" l="1"/>
  <c r="G40" i="8"/>
  <c r="E27" i="8"/>
  <c r="G26" i="8"/>
  <c r="E42" i="8" l="1"/>
  <c r="G41" i="8"/>
  <c r="E28" i="8"/>
  <c r="G27" i="8"/>
  <c r="G42" i="8" l="1"/>
  <c r="E43" i="8"/>
  <c r="G43" i="8" s="1"/>
  <c r="G28" i="8"/>
  <c r="E29" i="8"/>
  <c r="G29" i="8" s="1"/>
</calcChain>
</file>

<file path=xl/sharedStrings.xml><?xml version="1.0" encoding="utf-8"?>
<sst xmlns="http://schemas.openxmlformats.org/spreadsheetml/2006/main" count="131" uniqueCount="45">
  <si>
    <t>Cpe</t>
  </si>
  <si>
    <t>qz</t>
  </si>
  <si>
    <t>kPa</t>
  </si>
  <si>
    <t>pn</t>
  </si>
  <si>
    <t>w</t>
  </si>
  <si>
    <t>kN/m</t>
  </si>
  <si>
    <t>L</t>
  </si>
  <si>
    <t>m</t>
  </si>
  <si>
    <t>M</t>
  </si>
  <si>
    <t>kNm</t>
  </si>
  <si>
    <t>s</t>
  </si>
  <si>
    <t>M = w.L^2/8 =</t>
  </si>
  <si>
    <t>w = pn.s =</t>
  </si>
  <si>
    <t>pn = Cpe.qz =</t>
  </si>
  <si>
    <t>Wind Pressure Coefficient</t>
  </si>
  <si>
    <t>Site Reference Pressure</t>
  </si>
  <si>
    <t>Nett Pressure on Surface</t>
  </si>
  <si>
    <t>Spacing of Beams</t>
  </si>
  <si>
    <t>Uniformly Distributed Load</t>
  </si>
  <si>
    <t>Span</t>
  </si>
  <si>
    <t>Maximum Bending Moment</t>
  </si>
  <si>
    <t>= Cpe.qz</t>
  </si>
  <si>
    <t>= pn.s</t>
  </si>
  <si>
    <t>= w.L^2/8</t>
  </si>
  <si>
    <t>pn =</t>
  </si>
  <si>
    <t>s =</t>
  </si>
  <si>
    <t>w =</t>
  </si>
  <si>
    <t>L =</t>
  </si>
  <si>
    <t>M =</t>
  </si>
  <si>
    <t>Cpe.qz</t>
  </si>
  <si>
    <t>pn.s</t>
  </si>
  <si>
    <t>w.L^2/8</t>
  </si>
  <si>
    <t>=</t>
  </si>
  <si>
    <t>Cpe =</t>
  </si>
  <si>
    <t>qz =</t>
  </si>
  <si>
    <t>m/s</t>
  </si>
  <si>
    <t>km/hr</t>
  </si>
  <si>
    <t>uk_acre</t>
  </si>
  <si>
    <t>m^2</t>
  </si>
  <si>
    <t>stone</t>
  </si>
  <si>
    <t>kg</t>
  </si>
  <si>
    <t>mi</t>
  </si>
  <si>
    <t>km</t>
  </si>
  <si>
    <t>pica</t>
  </si>
  <si>
    <t>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</si>
</sst>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8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quotePrefix="1" applyAlignment="1">
      <alignment horizontal="right"/>
    </xf>
    <xf numFmtId="0" fontId="0" fillId="0" borderId="0" xfId="0" quotePrefix="1" applyAlignment="1"/>
    <xf numFmtId="1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Moment vs Span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N1</c:v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00FF"/>
              </a:solidFill>
              <a:ln w="9525">
                <a:solidFill>
                  <a:srgbClr val="0000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2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</c:numLit>
          </c:xVal>
          <c:yVal>
            <c:numLit>
              <c:formatCode>General</c:formatCode>
              <c:ptCount val="12"/>
              <c:pt idx="0">
                <c:v>0</c:v>
              </c:pt>
              <c:pt idx="1">
                <c:v>0.3105</c:v>
              </c:pt>
              <c:pt idx="2">
                <c:v>1.242</c:v>
              </c:pt>
              <c:pt idx="3">
                <c:v>2.7945000000000002</c:v>
              </c:pt>
              <c:pt idx="4">
                <c:v>4.968</c:v>
              </c:pt>
              <c:pt idx="5">
                <c:v>7.7625000000000002</c:v>
              </c:pt>
              <c:pt idx="6">
                <c:v>11.178000000000001</c:v>
              </c:pt>
              <c:pt idx="7">
                <c:v>15.214499999999999</c:v>
              </c:pt>
              <c:pt idx="8">
                <c:v>19.872</c:v>
              </c:pt>
              <c:pt idx="9">
                <c:v>25.150500000000001</c:v>
              </c:pt>
              <c:pt idx="10">
                <c:v>31.05</c:v>
              </c:pt>
              <c:pt idx="11">
                <c:v>37.570500000000003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E-6BCA-4F27-ABF2-732E0CD28D0D}"/>
            </c:ext>
          </c:extLst>
        </c:ser>
        <c:ser>
          <c:idx val="1"/>
          <c:order val="1"/>
          <c:tx>
            <c:v>N2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solidFill>
                  <a:srgbClr val="00FF00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2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</c:numLit>
          </c:xVal>
          <c:yVal>
            <c:numLit>
              <c:formatCode>General</c:formatCode>
              <c:ptCount val="12"/>
              <c:pt idx="0">
                <c:v>0</c:v>
              </c:pt>
              <c:pt idx="1">
                <c:v>0.43199999999999994</c:v>
              </c:pt>
              <c:pt idx="2">
                <c:v>1.7279999999999998</c:v>
              </c:pt>
              <c:pt idx="3">
                <c:v>3.8879999999999995</c:v>
              </c:pt>
              <c:pt idx="4">
                <c:v>6.911999999999999</c:v>
              </c:pt>
              <c:pt idx="5">
                <c:v>10.799999999999999</c:v>
              </c:pt>
              <c:pt idx="6">
                <c:v>15.551999999999998</c:v>
              </c:pt>
              <c:pt idx="7">
                <c:v>21.167999999999996</c:v>
              </c:pt>
              <c:pt idx="8">
                <c:v>27.647999999999996</c:v>
              </c:pt>
              <c:pt idx="9">
                <c:v>34.991999999999997</c:v>
              </c:pt>
              <c:pt idx="10">
                <c:v>43.199999999999996</c:v>
              </c:pt>
              <c:pt idx="11">
                <c:v>52.271999999999991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F-6BCA-4F27-ABF2-732E0CD28D0D}"/>
            </c:ext>
          </c:extLst>
        </c:ser>
        <c:ser>
          <c:idx val="2"/>
          <c:order val="2"/>
          <c:tx>
            <c:v>N3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2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</c:numLit>
          </c:xVal>
          <c:yVal>
            <c:numLit>
              <c:formatCode>General</c:formatCode>
              <c:ptCount val="12"/>
              <c:pt idx="0">
                <c:v>0</c:v>
              </c:pt>
              <c:pt idx="1">
                <c:v>0.67499999999999993</c:v>
              </c:pt>
              <c:pt idx="2">
                <c:v>2.6999999999999997</c:v>
              </c:pt>
              <c:pt idx="3">
                <c:v>6.0749999999999993</c:v>
              </c:pt>
              <c:pt idx="4">
                <c:v>10.799999999999999</c:v>
              </c:pt>
              <c:pt idx="5">
                <c:v>16.875</c:v>
              </c:pt>
              <c:pt idx="6">
                <c:v>24.299999999999997</c:v>
              </c:pt>
              <c:pt idx="7">
                <c:v>33.074999999999996</c:v>
              </c:pt>
              <c:pt idx="8">
                <c:v>43.199999999999996</c:v>
              </c:pt>
              <c:pt idx="9">
                <c:v>54.674999999999997</c:v>
              </c:pt>
              <c:pt idx="10">
                <c:v>67.5</c:v>
              </c:pt>
              <c:pt idx="11">
                <c:v>81.674999999999997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0-6BCA-4F27-ABF2-732E0CD28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8508896"/>
        <c:axId val="618513160"/>
      </c:scatterChart>
      <c:valAx>
        <c:axId val="618508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000000"/>
              </a:solidFill>
              <a:prstDash val="solid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FF99C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Span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513160"/>
        <c:crosses val="autoZero"/>
        <c:crossBetween val="midCat"/>
      </c:valAx>
      <c:valAx>
        <c:axId val="618513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0000"/>
              </a:solidFill>
              <a:prstDash val="solid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FF99C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Moment [kNm]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508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Moment vs Span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M:SS</c:v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3"/>
              <c:pt idx="0">
                <c:v>0</c:v>
              </c:pt>
              <c:pt idx="1">
                <c:v>2</c:v>
              </c:pt>
              <c:pt idx="2">
                <c:v>4</c:v>
              </c:pt>
              <c:pt idx="3">
                <c:v>6</c:v>
              </c:pt>
              <c:pt idx="4">
                <c:v>8</c:v>
              </c:pt>
              <c:pt idx="5">
                <c:v>10</c:v>
              </c:pt>
              <c:pt idx="6">
                <c:v>12</c:v>
              </c:pt>
              <c:pt idx="7">
                <c:v>14</c:v>
              </c:pt>
              <c:pt idx="8">
                <c:v>16</c:v>
              </c:pt>
              <c:pt idx="9">
                <c:v>18</c:v>
              </c:pt>
              <c:pt idx="10">
                <c:v>20</c:v>
              </c:pt>
              <c:pt idx="11">
                <c:v>22</c:v>
              </c:pt>
              <c:pt idx="12">
                <c:v>24</c:v>
              </c:pt>
            </c:numLit>
          </c:xVal>
          <c:yVal>
            <c:numLit>
              <c:formatCode>General</c:formatCode>
              <c:ptCount val="13"/>
              <c:pt idx="0">
                <c:v>-</c:v>
              </c:pt>
              <c:pt idx="1">
                <c:v>-44.352000000000004</c:v>
              </c:pt>
              <c:pt idx="2">
                <c:v>-80.64</c:v>
              </c:pt>
              <c:pt idx="3">
                <c:v>-108.864</c:v>
              </c:pt>
              <c:pt idx="4">
                <c:v>-129.024</c:v>
              </c:pt>
              <c:pt idx="5">
                <c:v>-141.12</c:v>
              </c:pt>
              <c:pt idx="6">
                <c:v>-145.15199999999999</c:v>
              </c:pt>
              <c:pt idx="7">
                <c:v>-141.12</c:v>
              </c:pt>
              <c:pt idx="8">
                <c:v>-129.024</c:v>
              </c:pt>
              <c:pt idx="9">
                <c:v>-108.864</c:v>
              </c:pt>
              <c:pt idx="10">
                <c:v>-80.64</c:v>
              </c:pt>
              <c:pt idx="11">
                <c:v>-44.352000000000004</c:v>
              </c:pt>
              <c:pt idx="12">
                <c:v>-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AB4-43E7-B1AF-6660571C5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932384"/>
        <c:axId val="537932712"/>
      </c:scatterChart>
      <c:valAx>
        <c:axId val="537932384"/>
        <c:scaling>
          <c:orientation val="minMax"/>
        </c:scaling>
        <c:delete val="0"/>
        <c:axPos val="b"/>
        <c:majorGridlines>
          <c:spPr>
            <a:ln>
              <a:solidFill>
                <a:srgbClr val="000000"/>
              </a:solidFill>
              <a:prstDash val="solid"/>
            </a:ln>
          </c:spPr>
        </c:majorGridlines>
        <c:minorGridlines>
          <c:spPr>
            <a:ln>
              <a:solidFill>
                <a:srgbClr val="FF99CC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Span [m]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7932712"/>
        <c:crosses val="autoZero"/>
        <c:crossBetween val="midCat"/>
      </c:valAx>
      <c:valAx>
        <c:axId val="537932712"/>
        <c:scaling>
          <c:orientation val="minMax"/>
        </c:scaling>
        <c:delete val="0"/>
        <c:axPos val="l"/>
        <c:majorGridlines>
          <c:spPr>
            <a:ln>
              <a:solidFill>
                <a:srgbClr val="000000"/>
              </a:solidFill>
              <a:prstDash val="solid"/>
            </a:ln>
          </c:spPr>
        </c:majorGridlines>
        <c:minorGridlines>
          <c:spPr>
            <a:ln>
              <a:solidFill>
                <a:srgbClr val="FF99CC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Moment [kNm]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7932384"/>
        <c:crosses val="autoZero"/>
        <c:crossBetween val="midCat"/>
      </c:valAx>
      <c:spPr>
        <a:noFill/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Height vs Length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Test</c:v>
          </c:tx>
          <c:spPr>
            <a:ln>
              <a:solidFill>
                <a:srgbClr val="0000FF"/>
              </a:solidFill>
            </a:ln>
          </c:spPr>
          <c:marker>
            <c:symbol val="circ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Lit>
              <c:formatCode>General</c:formatCode>
              <c:ptCount val="5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</c:numLit>
          </c:xVal>
          <c:yVal>
            <c:numLit>
              <c:formatCode>General</c:formatCode>
              <c:ptCount val="5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1FB3-4939-829D-D8B4D364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966232"/>
        <c:axId val="603967544"/>
      </c:scatterChart>
      <c:valAx>
        <c:axId val="603966232"/>
        <c:scaling>
          <c:orientation val="minMax"/>
        </c:scaling>
        <c:delete val="0"/>
        <c:axPos val="b"/>
        <c:majorGridlines>
          <c:spPr>
            <a:ln>
              <a:solidFill>
                <a:srgbClr val="000000"/>
              </a:solidFill>
              <a:prstDash val="solid"/>
            </a:ln>
          </c:spPr>
        </c:majorGridlines>
        <c:minorGridlines>
          <c:spPr>
            <a:ln>
              <a:solidFill>
                <a:srgbClr val="FF99CC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Length[m]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3967544"/>
        <c:crosses val="autoZero"/>
        <c:crossBetween val="midCat"/>
      </c:valAx>
      <c:valAx>
        <c:axId val="603967544"/>
        <c:scaling>
          <c:orientation val="minMax"/>
        </c:scaling>
        <c:delete val="0"/>
        <c:axPos val="l"/>
        <c:majorGridlines>
          <c:spPr>
            <a:ln>
              <a:solidFill>
                <a:srgbClr val="000000"/>
              </a:solidFill>
              <a:prstDash val="solid"/>
            </a:ln>
          </c:spPr>
        </c:majorGridlines>
        <c:minorGridlines>
          <c:spPr>
            <a:ln>
              <a:solidFill>
                <a:srgbClr val="FF99CC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Height[m]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3966232"/>
        <c:crosses val="autoZero"/>
        <c:crossBetween val="midCat"/>
      </c:valAx>
      <c:spPr>
        <a:noFill/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Moment vs Span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qz=0.69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Lit>
              <c:formatCode>General</c:formatCode>
              <c:ptCount val="12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</c:numLit>
          </c:xVal>
          <c:yVal>
            <c:numLit>
              <c:formatCode>General</c:formatCode>
              <c:ptCount val="12"/>
              <c:pt idx="0">
                <c:v>0</c:v>
              </c:pt>
              <c:pt idx="1">
                <c:v>0.3105</c:v>
              </c:pt>
              <c:pt idx="2">
                <c:v>1.242</c:v>
              </c:pt>
              <c:pt idx="3">
                <c:v>2.7945000000000002</c:v>
              </c:pt>
              <c:pt idx="4">
                <c:v>4.968</c:v>
              </c:pt>
              <c:pt idx="5">
                <c:v>7.7625000000000002</c:v>
              </c:pt>
              <c:pt idx="6">
                <c:v>11.178000000000001</c:v>
              </c:pt>
              <c:pt idx="7">
                <c:v>15.214499999999999</c:v>
              </c:pt>
              <c:pt idx="8">
                <c:v>19.872</c:v>
              </c:pt>
              <c:pt idx="9">
                <c:v>25.150500000000001</c:v>
              </c:pt>
              <c:pt idx="10">
                <c:v>31.05</c:v>
              </c:pt>
              <c:pt idx="11">
                <c:v>37.570500000000003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7-BA02-4B37-A973-6FECBEFCDBAF}"/>
            </c:ext>
          </c:extLst>
        </c:ser>
        <c:ser>
          <c:idx val="1"/>
          <c:order val="1"/>
          <c:tx>
            <c:v>qz=0.96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Lit>
              <c:formatCode>General</c:formatCode>
              <c:ptCount val="12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</c:numLit>
          </c:xVal>
          <c:yVal>
            <c:numLit>
              <c:formatCode>General</c:formatCode>
              <c:ptCount val="12"/>
              <c:pt idx="0">
                <c:v>0</c:v>
              </c:pt>
              <c:pt idx="1">
                <c:v>0.43199999999999994</c:v>
              </c:pt>
              <c:pt idx="2">
                <c:v>1.7279999999999998</c:v>
              </c:pt>
              <c:pt idx="3">
                <c:v>3.8879999999999995</c:v>
              </c:pt>
              <c:pt idx="4">
                <c:v>6.911999999999999</c:v>
              </c:pt>
              <c:pt idx="5">
                <c:v>10.799999999999999</c:v>
              </c:pt>
              <c:pt idx="6">
                <c:v>15.551999999999998</c:v>
              </c:pt>
              <c:pt idx="7">
                <c:v>21.167999999999996</c:v>
              </c:pt>
              <c:pt idx="8">
                <c:v>27.647999999999996</c:v>
              </c:pt>
              <c:pt idx="9">
                <c:v>34.991999999999997</c:v>
              </c:pt>
              <c:pt idx="10">
                <c:v>43.199999999999996</c:v>
              </c:pt>
              <c:pt idx="11">
                <c:v>52.271999999999991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8-BA02-4B37-A973-6FECBEFCDBAF}"/>
            </c:ext>
          </c:extLst>
        </c:ser>
        <c:ser>
          <c:idx val="2"/>
          <c:order val="2"/>
          <c:tx>
            <c:v>qz=1.50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Lit>
              <c:formatCode>General</c:formatCode>
              <c:ptCount val="12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</c:numLit>
          </c:xVal>
          <c:yVal>
            <c:numLit>
              <c:formatCode>General</c:formatCode>
              <c:ptCount val="12"/>
              <c:pt idx="0">
                <c:v>0</c:v>
              </c:pt>
              <c:pt idx="1">
                <c:v>0.67499999999999993</c:v>
              </c:pt>
              <c:pt idx="2">
                <c:v>2.6999999999999997</c:v>
              </c:pt>
              <c:pt idx="3">
                <c:v>6.0749999999999993</c:v>
              </c:pt>
              <c:pt idx="4">
                <c:v>10.799999999999999</c:v>
              </c:pt>
              <c:pt idx="5">
                <c:v>16.875</c:v>
              </c:pt>
              <c:pt idx="6">
                <c:v>24.299999999999997</c:v>
              </c:pt>
              <c:pt idx="7">
                <c:v>33.074999999999996</c:v>
              </c:pt>
              <c:pt idx="8">
                <c:v>43.199999999999996</c:v>
              </c:pt>
              <c:pt idx="9">
                <c:v>54.674999999999997</c:v>
              </c:pt>
              <c:pt idx="10">
                <c:v>67.5</c:v>
              </c:pt>
              <c:pt idx="11">
                <c:v>81.674999999999997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9-BA02-4B37-A973-6FECBEFCD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486800"/>
        <c:axId val="431486144"/>
      </c:scatterChart>
      <c:valAx>
        <c:axId val="431486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000000"/>
              </a:solidFill>
              <a:prstDash val="solid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FF99C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Span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86144"/>
        <c:crosses val="autoZero"/>
        <c:crossBetween val="midCat"/>
      </c:valAx>
      <c:valAx>
        <c:axId val="43148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0000"/>
              </a:solidFill>
              <a:prstDash val="solid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FF99C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Moment [kNm]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86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9CB5C50-F9AE-40EF-BA76-CDB0D031208F}">
  <sheetPr codeName="Chart10"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33336</xdr:colOff>
      <xdr:row>2</xdr:row>
      <xdr:rowOff>23812</xdr:rowOff>
    </xdr:from>
    <xdr:to>
      <xdr:col>16</xdr:col>
      <xdr:colOff>476249</xdr:colOff>
      <xdr:row>19</xdr:row>
      <xdr:rowOff>123825</xdr:rowOff>
    </xdr:to>
    <xdr:graphicFrame macro="">
      <xdr:nvGraphicFramePr>
        <xdr:cNvPr id="2" name="FloatingChart">
          <a:extLst>
            <a:ext uri="{FF2B5EF4-FFF2-40B4-BE49-F238E27FC236}">
              <a16:creationId xmlns:a16="http://schemas.microsoft.com/office/drawing/2014/main" id="{E621ACFB-001C-4AA9-B1AC-2A145A124C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73025</xdr:colOff>
      <xdr:row>2</xdr:row>
      <xdr:rowOff>19050</xdr:rowOff>
    </xdr:from>
    <xdr:to>
      <xdr:col>25</xdr:col>
      <xdr:colOff>504825</xdr:colOff>
      <xdr:row>19</xdr:row>
      <xdr:rowOff>130175</xdr:rowOff>
    </xdr:to>
    <xdr:graphicFrame macro="">
      <xdr:nvGraphicFramePr>
        <xdr:cNvPr id="14" name="FloatingChart2">
          <a:extLst>
            <a:ext uri="{FF2B5EF4-FFF2-40B4-BE49-F238E27FC236}">
              <a16:creationId xmlns:a16="http://schemas.microsoft.com/office/drawing/2014/main" id="{112C45E0-BCD7-45DD-B162-83CACC69E8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25400</xdr:colOff>
      <xdr:row>21</xdr:row>
      <xdr:rowOff>47625</xdr:rowOff>
    </xdr:from>
    <xdr:to>
      <xdr:col>16</xdr:col>
      <xdr:colOff>457200</xdr:colOff>
      <xdr:row>39</xdr:row>
      <xdr:rowOff>15875</xdr:rowOff>
    </xdr:to>
    <xdr:graphicFrame macro="">
      <xdr:nvGraphicFramePr>
        <xdr:cNvPr id="4" name="embedChart2">
          <a:extLst>
            <a:ext uri="{FF2B5EF4-FFF2-40B4-BE49-F238E27FC236}">
              <a16:creationId xmlns:a16="http://schemas.microsoft.com/office/drawing/2014/main" id="{C07E6ED4-F27C-49E6-8C62-53C8A81B4D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97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FEA066-05F9-4E2F-AF7B-490B0EEBEDB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6"/>
  <sheetViews>
    <sheetView workbookViewId="0">
      <selection activeCell="C7" sqref="C7"/>
    </sheetView>
  </sheetViews>
  <sheetFormatPr defaultRowHeight="11.25" x14ac:dyDescent="0.2"/>
  <sheetData>
    <row r="1" spans="1:3" x14ac:dyDescent="0.2">
      <c r="A1" s="1" t="s">
        <v>0</v>
      </c>
      <c r="B1" s="2">
        <v>-0.7</v>
      </c>
    </row>
    <row r="2" spans="1:3" x14ac:dyDescent="0.2">
      <c r="A2" s="1" t="s">
        <v>1</v>
      </c>
      <c r="B2" s="2">
        <v>0.96</v>
      </c>
      <c r="C2" t="s">
        <v>2</v>
      </c>
    </row>
    <row r="3" spans="1:3" x14ac:dyDescent="0.2">
      <c r="A3" s="1" t="s">
        <v>3</v>
      </c>
      <c r="B3" s="2">
        <f>B1*B2</f>
        <v>-0.67199999999999993</v>
      </c>
      <c r="C3" t="s">
        <v>2</v>
      </c>
    </row>
    <row r="4" spans="1:3" x14ac:dyDescent="0.2">
      <c r="A4" s="1" t="s">
        <v>4</v>
      </c>
      <c r="B4" s="2">
        <f>3*B3</f>
        <v>-2.016</v>
      </c>
      <c r="C4" t="s">
        <v>5</v>
      </c>
    </row>
    <row r="5" spans="1:3" x14ac:dyDescent="0.2">
      <c r="A5" s="1" t="s">
        <v>6</v>
      </c>
      <c r="B5" s="2">
        <v>6</v>
      </c>
      <c r="C5" t="s">
        <v>7</v>
      </c>
    </row>
    <row r="6" spans="1:3" x14ac:dyDescent="0.2">
      <c r="A6" s="1" t="s">
        <v>8</v>
      </c>
      <c r="B6" s="2">
        <f>B4*B5^2/8</f>
        <v>-9.0719999999999992</v>
      </c>
      <c r="C6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2434E-1099-4AB9-AF55-2E4B8E1E845C}">
  <sheetPr codeName="Sheet7"/>
  <dimension ref="A1:C6"/>
  <sheetViews>
    <sheetView workbookViewId="0">
      <selection activeCell="L21" sqref="L21"/>
    </sheetView>
  </sheetViews>
  <sheetFormatPr defaultRowHeight="11.25" x14ac:dyDescent="0.2"/>
  <sheetData>
    <row r="1" spans="1:3" x14ac:dyDescent="0.2">
      <c r="A1" s="1" t="s">
        <v>0</v>
      </c>
      <c r="B1" s="2">
        <v>-0.7</v>
      </c>
    </row>
    <row r="2" spans="1:3" x14ac:dyDescent="0.2">
      <c r="A2" s="1" t="s">
        <v>1</v>
      </c>
      <c r="B2" s="2">
        <v>0.96</v>
      </c>
      <c r="C2" t="s">
        <v>2</v>
      </c>
    </row>
    <row r="3" spans="1:3" x14ac:dyDescent="0.2">
      <c r="A3" s="1" t="s">
        <v>3</v>
      </c>
      <c r="B3" s="2">
        <f>Cpe*qz</f>
        <v>-0.67199999999999993</v>
      </c>
      <c r="C3" t="s">
        <v>2</v>
      </c>
    </row>
    <row r="4" spans="1:3" x14ac:dyDescent="0.2">
      <c r="A4" s="1" t="s">
        <v>4</v>
      </c>
      <c r="B4" s="2">
        <f>3*pn</f>
        <v>-2.016</v>
      </c>
      <c r="C4" t="s">
        <v>5</v>
      </c>
    </row>
    <row r="5" spans="1:3" x14ac:dyDescent="0.2">
      <c r="A5" s="1" t="s">
        <v>6</v>
      </c>
      <c r="B5" s="2">
        <v>6</v>
      </c>
      <c r="C5" t="s">
        <v>7</v>
      </c>
    </row>
    <row r="6" spans="1:3" x14ac:dyDescent="0.2">
      <c r="A6" s="1" t="s">
        <v>8</v>
      </c>
      <c r="B6" s="2">
        <f>w*L^2/8</f>
        <v>-9.0719999999999992</v>
      </c>
      <c r="C6" t="s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FF9E9-98F1-498D-A6B3-396BED70453C}">
  <sheetPr codeName="Sheet2"/>
  <dimension ref="A1:D7"/>
  <sheetViews>
    <sheetView workbookViewId="0">
      <selection activeCell="C12" sqref="C12"/>
    </sheetView>
  </sheetViews>
  <sheetFormatPr defaultRowHeight="11.25" x14ac:dyDescent="0.2"/>
  <cols>
    <col min="1" max="1" width="22.6640625" bestFit="1" customWidth="1"/>
    <col min="2" max="2" width="12.5" bestFit="1" customWidth="1"/>
  </cols>
  <sheetData>
    <row r="1" spans="1:4" x14ac:dyDescent="0.2">
      <c r="A1" s="1" t="s">
        <v>14</v>
      </c>
      <c r="B1" s="1" t="s">
        <v>0</v>
      </c>
      <c r="C1" s="2">
        <v>-0.7</v>
      </c>
    </row>
    <row r="2" spans="1:4" x14ac:dyDescent="0.2">
      <c r="A2" s="1" t="s">
        <v>15</v>
      </c>
      <c r="B2" s="1" t="s">
        <v>1</v>
      </c>
      <c r="C2" s="2">
        <v>0.96</v>
      </c>
      <c r="D2" t="s">
        <v>2</v>
      </c>
    </row>
    <row r="3" spans="1:4" x14ac:dyDescent="0.2">
      <c r="A3" s="1" t="s">
        <v>16</v>
      </c>
      <c r="B3" s="1" t="s">
        <v>13</v>
      </c>
      <c r="C3" s="2">
        <f>Cpe*qz</f>
        <v>-0.67199999999999993</v>
      </c>
      <c r="D3" t="s">
        <v>2</v>
      </c>
    </row>
    <row r="4" spans="1:4" x14ac:dyDescent="0.2">
      <c r="A4" s="1" t="s">
        <v>17</v>
      </c>
      <c r="B4" s="1" t="s">
        <v>10</v>
      </c>
      <c r="C4" s="2">
        <v>3</v>
      </c>
      <c r="D4" t="s">
        <v>7</v>
      </c>
    </row>
    <row r="5" spans="1:4" x14ac:dyDescent="0.2">
      <c r="A5" s="1" t="s">
        <v>18</v>
      </c>
      <c r="B5" s="1" t="s">
        <v>12</v>
      </c>
      <c r="C5" s="2">
        <f>pn*s</f>
        <v>-2.016</v>
      </c>
      <c r="D5" t="s">
        <v>5</v>
      </c>
    </row>
    <row r="6" spans="1:4" x14ac:dyDescent="0.2">
      <c r="A6" s="1" t="s">
        <v>19</v>
      </c>
      <c r="B6" s="1" t="s">
        <v>6</v>
      </c>
      <c r="C6" s="2">
        <v>6</v>
      </c>
      <c r="D6" t="s">
        <v>7</v>
      </c>
    </row>
    <row r="7" spans="1:4" x14ac:dyDescent="0.2">
      <c r="A7" s="1" t="s">
        <v>20</v>
      </c>
      <c r="B7" s="1" t="s">
        <v>11</v>
      </c>
      <c r="C7" s="2">
        <f>w*L^2/8</f>
        <v>-9.0719999999999992</v>
      </c>
      <c r="D7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7D1F0-A032-4827-85DF-2EABDF49814A}">
  <sheetPr codeName="Sheet3"/>
  <dimension ref="A1:D15"/>
  <sheetViews>
    <sheetView workbookViewId="0">
      <selection activeCell="F12" sqref="F12"/>
    </sheetView>
  </sheetViews>
  <sheetFormatPr defaultRowHeight="11.25" x14ac:dyDescent="0.2"/>
  <cols>
    <col min="1" max="1" width="22.6640625" bestFit="1" customWidth="1"/>
    <col min="2" max="2" width="4.33203125" bestFit="1" customWidth="1"/>
  </cols>
  <sheetData>
    <row r="1" spans="1:4" x14ac:dyDescent="0.2">
      <c r="A1" s="1" t="s">
        <v>14</v>
      </c>
      <c r="B1" s="1" t="s">
        <v>0</v>
      </c>
      <c r="C1" s="2">
        <v>-0.7</v>
      </c>
    </row>
    <row r="2" spans="1:4" x14ac:dyDescent="0.2">
      <c r="A2" s="1" t="s">
        <v>15</v>
      </c>
      <c r="B2" s="1" t="s">
        <v>1</v>
      </c>
      <c r="C2" s="2">
        <v>0.96</v>
      </c>
      <c r="D2" t="s">
        <v>2</v>
      </c>
    </row>
    <row r="3" spans="1:4" x14ac:dyDescent="0.2">
      <c r="A3" s="1"/>
      <c r="B3" s="1"/>
      <c r="C3" s="2"/>
    </row>
    <row r="4" spans="1:4" x14ac:dyDescent="0.2">
      <c r="A4" s="1" t="s">
        <v>16</v>
      </c>
      <c r="B4" s="1" t="s">
        <v>3</v>
      </c>
      <c r="C4" s="4" t="s">
        <v>21</v>
      </c>
    </row>
    <row r="5" spans="1:4" x14ac:dyDescent="0.2">
      <c r="A5" s="1"/>
      <c r="B5" s="1"/>
      <c r="C5" s="2">
        <f>Cpe*qz</f>
        <v>-0.67199999999999993</v>
      </c>
      <c r="D5" t="s">
        <v>2</v>
      </c>
    </row>
    <row r="6" spans="1:4" x14ac:dyDescent="0.2">
      <c r="A6" s="1"/>
      <c r="B6" s="1"/>
      <c r="C6" s="2"/>
    </row>
    <row r="7" spans="1:4" x14ac:dyDescent="0.2">
      <c r="A7" s="1" t="s">
        <v>17</v>
      </c>
      <c r="B7" s="1" t="s">
        <v>10</v>
      </c>
      <c r="C7" s="2">
        <v>3</v>
      </c>
      <c r="D7" t="s">
        <v>7</v>
      </c>
    </row>
    <row r="8" spans="1:4" x14ac:dyDescent="0.2">
      <c r="A8" s="1"/>
      <c r="B8" s="1"/>
      <c r="C8" s="2"/>
    </row>
    <row r="9" spans="1:4" x14ac:dyDescent="0.2">
      <c r="A9" s="1" t="s">
        <v>18</v>
      </c>
      <c r="B9" s="1" t="s">
        <v>4</v>
      </c>
      <c r="C9" s="4" t="s">
        <v>22</v>
      </c>
    </row>
    <row r="10" spans="1:4" x14ac:dyDescent="0.2">
      <c r="C10" s="2">
        <f>pn*s</f>
        <v>-2.016</v>
      </c>
      <c r="D10" t="s">
        <v>5</v>
      </c>
    </row>
    <row r="12" spans="1:4" x14ac:dyDescent="0.2">
      <c r="A12" s="1" t="s">
        <v>19</v>
      </c>
      <c r="B12" s="1" t="s">
        <v>6</v>
      </c>
      <c r="C12" s="2">
        <v>6</v>
      </c>
      <c r="D12" t="s">
        <v>7</v>
      </c>
    </row>
    <row r="14" spans="1:4" x14ac:dyDescent="0.2">
      <c r="A14" s="1" t="s">
        <v>20</v>
      </c>
      <c r="B14" s="1" t="s">
        <v>8</v>
      </c>
      <c r="C14" s="3" t="s">
        <v>23</v>
      </c>
    </row>
    <row r="15" spans="1:4" x14ac:dyDescent="0.2">
      <c r="C15" s="2">
        <f>w*L^2/8</f>
        <v>-9.0719999999999992</v>
      </c>
      <c r="D15" t="s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9BE0D-5C19-4E39-8431-3428BFC4B62F}">
  <sheetPr codeName="Sheet4"/>
  <dimension ref="A1:D15"/>
  <sheetViews>
    <sheetView workbookViewId="0">
      <selection activeCell="G12" sqref="G12"/>
    </sheetView>
  </sheetViews>
  <sheetFormatPr defaultRowHeight="11.25" x14ac:dyDescent="0.2"/>
  <cols>
    <col min="1" max="1" width="22.6640625" bestFit="1" customWidth="1"/>
    <col min="2" max="2" width="5.83203125" bestFit="1" customWidth="1"/>
    <col min="3" max="3" width="7.6640625" bestFit="1" customWidth="1"/>
    <col min="4" max="4" width="5" bestFit="1" customWidth="1"/>
  </cols>
  <sheetData>
    <row r="1" spans="1:4" x14ac:dyDescent="0.2">
      <c r="A1" s="1" t="s">
        <v>14</v>
      </c>
      <c r="B1" s="1" t="s">
        <v>33</v>
      </c>
      <c r="C1" s="2">
        <v>-0.7</v>
      </c>
    </row>
    <row r="2" spans="1:4" x14ac:dyDescent="0.2">
      <c r="A2" s="1" t="s">
        <v>15</v>
      </c>
      <c r="B2" s="1" t="s">
        <v>34</v>
      </c>
      <c r="C2" s="2">
        <v>0.96</v>
      </c>
      <c r="D2" t="s">
        <v>2</v>
      </c>
    </row>
    <row r="3" spans="1:4" x14ac:dyDescent="0.2">
      <c r="A3" s="1"/>
      <c r="B3" s="1"/>
      <c r="C3" s="2"/>
    </row>
    <row r="4" spans="1:4" x14ac:dyDescent="0.2">
      <c r="A4" s="1" t="s">
        <v>16</v>
      </c>
      <c r="B4" s="1" t="s">
        <v>24</v>
      </c>
      <c r="C4" s="4" t="s">
        <v>29</v>
      </c>
    </row>
    <row r="5" spans="1:4" x14ac:dyDescent="0.2">
      <c r="A5" s="1"/>
      <c r="B5" s="1" t="s">
        <v>32</v>
      </c>
      <c r="C5" s="2">
        <f>Cpe*qz</f>
        <v>-0.67199999999999993</v>
      </c>
      <c r="D5" t="s">
        <v>2</v>
      </c>
    </row>
    <row r="6" spans="1:4" x14ac:dyDescent="0.2">
      <c r="A6" s="1"/>
      <c r="B6" s="1"/>
      <c r="C6" s="2"/>
    </row>
    <row r="7" spans="1:4" x14ac:dyDescent="0.2">
      <c r="A7" s="1" t="s">
        <v>17</v>
      </c>
      <c r="B7" s="1" t="s">
        <v>25</v>
      </c>
      <c r="C7" s="2">
        <v>3</v>
      </c>
      <c r="D7" t="s">
        <v>7</v>
      </c>
    </row>
    <row r="8" spans="1:4" x14ac:dyDescent="0.2">
      <c r="A8" s="1"/>
      <c r="B8" s="1"/>
      <c r="C8" s="2"/>
    </row>
    <row r="9" spans="1:4" x14ac:dyDescent="0.2">
      <c r="A9" s="1" t="s">
        <v>18</v>
      </c>
      <c r="B9" s="1" t="s">
        <v>26</v>
      </c>
      <c r="C9" s="4" t="s">
        <v>30</v>
      </c>
    </row>
    <row r="10" spans="1:4" x14ac:dyDescent="0.2">
      <c r="B10" s="1" t="s">
        <v>32</v>
      </c>
      <c r="C10" s="2">
        <f>pn*s</f>
        <v>-2.016</v>
      </c>
      <c r="D10" t="s">
        <v>5</v>
      </c>
    </row>
    <row r="12" spans="1:4" x14ac:dyDescent="0.2">
      <c r="A12" s="1" t="s">
        <v>19</v>
      </c>
      <c r="B12" s="1" t="s">
        <v>27</v>
      </c>
      <c r="C12" s="2">
        <v>6</v>
      </c>
      <c r="D12" t="s">
        <v>7</v>
      </c>
    </row>
    <row r="14" spans="1:4" x14ac:dyDescent="0.2">
      <c r="A14" s="1" t="s">
        <v>20</v>
      </c>
      <c r="B14" s="1" t="s">
        <v>28</v>
      </c>
      <c r="C14" s="3" t="s">
        <v>31</v>
      </c>
    </row>
    <row r="15" spans="1:4" x14ac:dyDescent="0.2">
      <c r="B15" s="1" t="s">
        <v>32</v>
      </c>
      <c r="C15" s="2">
        <f>w*L^2/8</f>
        <v>-9.0719999999999992</v>
      </c>
      <c r="D15" t="s">
        <v>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C8995-7533-40A4-8B1F-603CD9D286AA}">
  <sheetPr codeName="Sheet5"/>
  <dimension ref="A1:C5"/>
  <sheetViews>
    <sheetView workbookViewId="0">
      <selection activeCell="B5" sqref="B5"/>
    </sheetView>
  </sheetViews>
  <sheetFormatPr defaultRowHeight="11.25" x14ac:dyDescent="0.2"/>
  <sheetData>
    <row r="1" spans="1:3" x14ac:dyDescent="0.2">
      <c r="A1" s="1" t="s">
        <v>0</v>
      </c>
      <c r="B1" s="2">
        <v>-0.7</v>
      </c>
    </row>
    <row r="2" spans="1:3" x14ac:dyDescent="0.2">
      <c r="A2" s="1" t="s">
        <v>1</v>
      </c>
      <c r="B2" s="2">
        <v>0.96</v>
      </c>
      <c r="C2" t="s">
        <v>2</v>
      </c>
    </row>
    <row r="3" spans="1:3" x14ac:dyDescent="0.2">
      <c r="A3" s="1" t="s">
        <v>10</v>
      </c>
      <c r="B3" s="2">
        <v>3</v>
      </c>
      <c r="C3" t="s">
        <v>7</v>
      </c>
    </row>
    <row r="4" spans="1:3" x14ac:dyDescent="0.2">
      <c r="A4" s="1" t="s">
        <v>6</v>
      </c>
      <c r="B4" s="2">
        <v>6</v>
      </c>
      <c r="C4" t="s">
        <v>7</v>
      </c>
    </row>
    <row r="5" spans="1:3" x14ac:dyDescent="0.2">
      <c r="A5" s="1" t="s">
        <v>8</v>
      </c>
      <c r="B5" s="2">
        <f>getBendingMoment(Cpe,qz,s,L)</f>
        <v>-9.0719999999999992</v>
      </c>
      <c r="C5" t="s">
        <v>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59681-8DE7-4DC4-A8F1-9D7E612398BF}">
  <sheetPr codeName="Sheet6"/>
  <dimension ref="B2:F12"/>
  <sheetViews>
    <sheetView workbookViewId="0">
      <selection activeCell="H18" sqref="H18"/>
    </sheetView>
  </sheetViews>
  <sheetFormatPr defaultRowHeight="11.25" x14ac:dyDescent="0.2"/>
  <sheetData>
    <row r="2" spans="2:6" x14ac:dyDescent="0.2">
      <c r="B2" s="6">
        <v>1</v>
      </c>
      <c r="C2" t="s">
        <v>41</v>
      </c>
      <c r="E2" s="6">
        <v>1</v>
      </c>
      <c r="F2" t="s">
        <v>43</v>
      </c>
    </row>
    <row r="3" spans="2:6" x14ac:dyDescent="0.2">
      <c r="B3" s="6">
        <f>CONVERT(B2,C2,C3)</f>
        <v>1.6093440000000001</v>
      </c>
      <c r="C3" t="s">
        <v>42</v>
      </c>
      <c r="E3" s="6">
        <f>CONVERT(E2,F2,F3)</f>
        <v>4.2333333333333334</v>
      </c>
      <c r="F3" t="s">
        <v>44</v>
      </c>
    </row>
    <row r="5" spans="2:6" x14ac:dyDescent="0.2">
      <c r="B5">
        <v>1</v>
      </c>
      <c r="C5" t="s">
        <v>37</v>
      </c>
    </row>
    <row r="6" spans="2:6" x14ac:dyDescent="0.2">
      <c r="B6" s="5">
        <f>CONVERT(B5,C5,C6)</f>
        <v>4046.8564224000002</v>
      </c>
      <c r="C6" t="s">
        <v>38</v>
      </c>
    </row>
    <row r="8" spans="2:6" x14ac:dyDescent="0.2">
      <c r="B8">
        <v>1</v>
      </c>
      <c r="C8" t="s">
        <v>35</v>
      </c>
    </row>
    <row r="9" spans="2:6" x14ac:dyDescent="0.2">
      <c r="B9">
        <f>CONVERT(B8,C8,C9)</f>
        <v>3.6</v>
      </c>
      <c r="C9" t="s">
        <v>36</v>
      </c>
    </row>
    <row r="11" spans="2:6" x14ac:dyDescent="0.2">
      <c r="B11">
        <v>1</v>
      </c>
      <c r="C11" t="s">
        <v>40</v>
      </c>
    </row>
    <row r="12" spans="2:6" x14ac:dyDescent="0.2">
      <c r="B12" s="6">
        <f>CONVERT(B11,C11,C12)</f>
        <v>0.15747304441776971</v>
      </c>
      <c r="C12" t="s">
        <v>39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BFDE4-B61A-4B5B-BE65-69000EA4CF20}">
  <sheetPr codeName="Sheet8"/>
  <dimension ref="A2:G43"/>
  <sheetViews>
    <sheetView tabSelected="1" workbookViewId="0"/>
  </sheetViews>
  <sheetFormatPr defaultRowHeight="11.25" x14ac:dyDescent="0.2"/>
  <sheetData>
    <row r="2" spans="1:7" x14ac:dyDescent="0.2">
      <c r="A2" t="s">
        <v>1</v>
      </c>
      <c r="B2" t="s">
        <v>0</v>
      </c>
      <c r="C2" t="s">
        <v>3</v>
      </c>
      <c r="D2" t="s">
        <v>10</v>
      </c>
      <c r="E2" t="s">
        <v>4</v>
      </c>
      <c r="F2" t="s">
        <v>6</v>
      </c>
      <c r="G2" t="s">
        <v>8</v>
      </c>
    </row>
    <row r="3" spans="1:7" x14ac:dyDescent="0.2">
      <c r="A3">
        <v>0.69</v>
      </c>
      <c r="B3">
        <v>1.2</v>
      </c>
      <c r="C3">
        <f>A3*B3</f>
        <v>0.82799999999999996</v>
      </c>
      <c r="D3">
        <v>3</v>
      </c>
      <c r="E3">
        <f>D3*C3</f>
        <v>2.484</v>
      </c>
      <c r="F3">
        <v>0</v>
      </c>
      <c r="G3" s="2">
        <f>E3*F3^2/8</f>
        <v>0</v>
      </c>
    </row>
    <row r="4" spans="1:7" x14ac:dyDescent="0.2">
      <c r="A4">
        <f>A3</f>
        <v>0.69</v>
      </c>
      <c r="B4">
        <f t="shared" ref="B4:E4" si="0">B3</f>
        <v>1.2</v>
      </c>
      <c r="C4">
        <f t="shared" si="0"/>
        <v>0.82799999999999996</v>
      </c>
      <c r="D4">
        <f t="shared" si="0"/>
        <v>3</v>
      </c>
      <c r="E4">
        <f t="shared" si="0"/>
        <v>2.484</v>
      </c>
      <c r="F4">
        <f t="shared" ref="F4:F14" si="1">F3+1</f>
        <v>1</v>
      </c>
      <c r="G4" s="2">
        <f t="shared" ref="G4:G14" si="2">E4*F4^2/8</f>
        <v>0.3105</v>
      </c>
    </row>
    <row r="5" spans="1:7" x14ac:dyDescent="0.2">
      <c r="A5">
        <f t="shared" ref="A5:A14" si="3">A4</f>
        <v>0.69</v>
      </c>
      <c r="B5">
        <f t="shared" ref="B5:B14" si="4">B4</f>
        <v>1.2</v>
      </c>
      <c r="C5">
        <f t="shared" ref="C5:C14" si="5">C4</f>
        <v>0.82799999999999996</v>
      </c>
      <c r="D5">
        <f t="shared" ref="D5:D14" si="6">D4</f>
        <v>3</v>
      </c>
      <c r="E5">
        <f t="shared" ref="E5:E14" si="7">E4</f>
        <v>2.484</v>
      </c>
      <c r="F5">
        <f t="shared" si="1"/>
        <v>2</v>
      </c>
      <c r="G5" s="2">
        <f t="shared" si="2"/>
        <v>1.242</v>
      </c>
    </row>
    <row r="6" spans="1:7" x14ac:dyDescent="0.2">
      <c r="A6">
        <f t="shared" si="3"/>
        <v>0.69</v>
      </c>
      <c r="B6">
        <f t="shared" si="4"/>
        <v>1.2</v>
      </c>
      <c r="C6">
        <f t="shared" si="5"/>
        <v>0.82799999999999996</v>
      </c>
      <c r="D6">
        <f t="shared" si="6"/>
        <v>3</v>
      </c>
      <c r="E6">
        <f t="shared" si="7"/>
        <v>2.484</v>
      </c>
      <c r="F6">
        <f t="shared" si="1"/>
        <v>3</v>
      </c>
      <c r="G6" s="2">
        <f t="shared" si="2"/>
        <v>2.7945000000000002</v>
      </c>
    </row>
    <row r="7" spans="1:7" x14ac:dyDescent="0.2">
      <c r="A7">
        <f t="shared" si="3"/>
        <v>0.69</v>
      </c>
      <c r="B7">
        <f t="shared" si="4"/>
        <v>1.2</v>
      </c>
      <c r="C7">
        <f t="shared" si="5"/>
        <v>0.82799999999999996</v>
      </c>
      <c r="D7">
        <f t="shared" si="6"/>
        <v>3</v>
      </c>
      <c r="E7">
        <f t="shared" si="7"/>
        <v>2.484</v>
      </c>
      <c r="F7">
        <f t="shared" si="1"/>
        <v>4</v>
      </c>
      <c r="G7" s="2">
        <f t="shared" si="2"/>
        <v>4.968</v>
      </c>
    </row>
    <row r="8" spans="1:7" x14ac:dyDescent="0.2">
      <c r="A8">
        <f t="shared" si="3"/>
        <v>0.69</v>
      </c>
      <c r="B8">
        <f t="shared" si="4"/>
        <v>1.2</v>
      </c>
      <c r="C8">
        <f t="shared" si="5"/>
        <v>0.82799999999999996</v>
      </c>
      <c r="D8">
        <f t="shared" si="6"/>
        <v>3</v>
      </c>
      <c r="E8">
        <f t="shared" si="7"/>
        <v>2.484</v>
      </c>
      <c r="F8">
        <f t="shared" si="1"/>
        <v>5</v>
      </c>
      <c r="G8" s="2">
        <f t="shared" si="2"/>
        <v>7.7625000000000002</v>
      </c>
    </row>
    <row r="9" spans="1:7" x14ac:dyDescent="0.2">
      <c r="A9">
        <f t="shared" si="3"/>
        <v>0.69</v>
      </c>
      <c r="B9">
        <f t="shared" si="4"/>
        <v>1.2</v>
      </c>
      <c r="C9">
        <f t="shared" si="5"/>
        <v>0.82799999999999996</v>
      </c>
      <c r="D9">
        <f t="shared" si="6"/>
        <v>3</v>
      </c>
      <c r="E9">
        <f t="shared" si="7"/>
        <v>2.484</v>
      </c>
      <c r="F9">
        <f t="shared" si="1"/>
        <v>6</v>
      </c>
      <c r="G9" s="2">
        <f t="shared" si="2"/>
        <v>11.178000000000001</v>
      </c>
    </row>
    <row r="10" spans="1:7" x14ac:dyDescent="0.2">
      <c r="A10">
        <f t="shared" si="3"/>
        <v>0.69</v>
      </c>
      <c r="B10">
        <f t="shared" si="4"/>
        <v>1.2</v>
      </c>
      <c r="C10">
        <f t="shared" si="5"/>
        <v>0.82799999999999996</v>
      </c>
      <c r="D10">
        <f t="shared" si="6"/>
        <v>3</v>
      </c>
      <c r="E10">
        <f t="shared" si="7"/>
        <v>2.484</v>
      </c>
      <c r="F10">
        <f t="shared" si="1"/>
        <v>7</v>
      </c>
      <c r="G10" s="2">
        <f t="shared" si="2"/>
        <v>15.214499999999999</v>
      </c>
    </row>
    <row r="11" spans="1:7" x14ac:dyDescent="0.2">
      <c r="A11">
        <f t="shared" si="3"/>
        <v>0.69</v>
      </c>
      <c r="B11">
        <f t="shared" si="4"/>
        <v>1.2</v>
      </c>
      <c r="C11">
        <f t="shared" si="5"/>
        <v>0.82799999999999996</v>
      </c>
      <c r="D11">
        <f t="shared" si="6"/>
        <v>3</v>
      </c>
      <c r="E11">
        <f t="shared" si="7"/>
        <v>2.484</v>
      </c>
      <c r="F11">
        <f t="shared" si="1"/>
        <v>8</v>
      </c>
      <c r="G11" s="2">
        <f t="shared" si="2"/>
        <v>19.872</v>
      </c>
    </row>
    <row r="12" spans="1:7" x14ac:dyDescent="0.2">
      <c r="A12">
        <f t="shared" si="3"/>
        <v>0.69</v>
      </c>
      <c r="B12">
        <f t="shared" si="4"/>
        <v>1.2</v>
      </c>
      <c r="C12">
        <f t="shared" si="5"/>
        <v>0.82799999999999996</v>
      </c>
      <c r="D12">
        <f t="shared" si="6"/>
        <v>3</v>
      </c>
      <c r="E12">
        <f t="shared" si="7"/>
        <v>2.484</v>
      </c>
      <c r="F12">
        <f t="shared" si="1"/>
        <v>9</v>
      </c>
      <c r="G12" s="2">
        <f t="shared" si="2"/>
        <v>25.150500000000001</v>
      </c>
    </row>
    <row r="13" spans="1:7" x14ac:dyDescent="0.2">
      <c r="A13">
        <f t="shared" si="3"/>
        <v>0.69</v>
      </c>
      <c r="B13">
        <f t="shared" si="4"/>
        <v>1.2</v>
      </c>
      <c r="C13">
        <f t="shared" si="5"/>
        <v>0.82799999999999996</v>
      </c>
      <c r="D13">
        <f t="shared" si="6"/>
        <v>3</v>
      </c>
      <c r="E13">
        <f t="shared" si="7"/>
        <v>2.484</v>
      </c>
      <c r="F13">
        <f t="shared" si="1"/>
        <v>10</v>
      </c>
      <c r="G13" s="2">
        <f t="shared" si="2"/>
        <v>31.05</v>
      </c>
    </row>
    <row r="14" spans="1:7" x14ac:dyDescent="0.2">
      <c r="A14">
        <f t="shared" si="3"/>
        <v>0.69</v>
      </c>
      <c r="B14">
        <f t="shared" si="4"/>
        <v>1.2</v>
      </c>
      <c r="C14">
        <f t="shared" si="5"/>
        <v>0.82799999999999996</v>
      </c>
      <c r="D14">
        <f t="shared" si="6"/>
        <v>3</v>
      </c>
      <c r="E14">
        <f t="shared" si="7"/>
        <v>2.484</v>
      </c>
      <c r="F14">
        <f t="shared" si="1"/>
        <v>11</v>
      </c>
      <c r="G14" s="2">
        <f t="shared" si="2"/>
        <v>37.570500000000003</v>
      </c>
    </row>
    <row r="17" spans="1:7" x14ac:dyDescent="0.2">
      <c r="A17" t="s">
        <v>1</v>
      </c>
      <c r="B17" t="s">
        <v>0</v>
      </c>
      <c r="C17" t="s">
        <v>3</v>
      </c>
      <c r="D17" t="s">
        <v>10</v>
      </c>
      <c r="E17" t="s">
        <v>4</v>
      </c>
      <c r="F17" t="s">
        <v>6</v>
      </c>
      <c r="G17" t="s">
        <v>8</v>
      </c>
    </row>
    <row r="18" spans="1:7" x14ac:dyDescent="0.2">
      <c r="A18">
        <v>0.96</v>
      </c>
      <c r="B18">
        <v>1.2</v>
      </c>
      <c r="C18">
        <f>A18*B18</f>
        <v>1.1519999999999999</v>
      </c>
      <c r="D18">
        <v>3</v>
      </c>
      <c r="E18">
        <f>D18*C18</f>
        <v>3.4559999999999995</v>
      </c>
      <c r="F18">
        <v>0</v>
      </c>
      <c r="G18" s="2">
        <f>E18*F18^2/8</f>
        <v>0</v>
      </c>
    </row>
    <row r="19" spans="1:7" x14ac:dyDescent="0.2">
      <c r="A19">
        <f>A18</f>
        <v>0.96</v>
      </c>
      <c r="B19">
        <f t="shared" ref="B19:B29" si="8">B18</f>
        <v>1.2</v>
      </c>
      <c r="C19">
        <f t="shared" ref="C19:C29" si="9">C18</f>
        <v>1.1519999999999999</v>
      </c>
      <c r="D19">
        <f t="shared" ref="D19:D29" si="10">D18</f>
        <v>3</v>
      </c>
      <c r="E19">
        <f t="shared" ref="E19:E29" si="11">E18</f>
        <v>3.4559999999999995</v>
      </c>
      <c r="F19">
        <f t="shared" ref="F19:F29" si="12">F18+1</f>
        <v>1</v>
      </c>
      <c r="G19" s="2">
        <f t="shared" ref="G19:G29" si="13">E19*F19^2/8</f>
        <v>0.43199999999999994</v>
      </c>
    </row>
    <row r="20" spans="1:7" x14ac:dyDescent="0.2">
      <c r="A20">
        <f t="shared" ref="A20:A29" si="14">A19</f>
        <v>0.96</v>
      </c>
      <c r="B20">
        <f t="shared" si="8"/>
        <v>1.2</v>
      </c>
      <c r="C20">
        <f t="shared" si="9"/>
        <v>1.1519999999999999</v>
      </c>
      <c r="D20">
        <f t="shared" si="10"/>
        <v>3</v>
      </c>
      <c r="E20">
        <f t="shared" si="11"/>
        <v>3.4559999999999995</v>
      </c>
      <c r="F20">
        <f t="shared" si="12"/>
        <v>2</v>
      </c>
      <c r="G20" s="2">
        <f t="shared" si="13"/>
        <v>1.7279999999999998</v>
      </c>
    </row>
    <row r="21" spans="1:7" x14ac:dyDescent="0.2">
      <c r="A21">
        <f t="shared" si="14"/>
        <v>0.96</v>
      </c>
      <c r="B21">
        <f t="shared" si="8"/>
        <v>1.2</v>
      </c>
      <c r="C21">
        <f t="shared" si="9"/>
        <v>1.1519999999999999</v>
      </c>
      <c r="D21">
        <f t="shared" si="10"/>
        <v>3</v>
      </c>
      <c r="E21">
        <f t="shared" si="11"/>
        <v>3.4559999999999995</v>
      </c>
      <c r="F21">
        <f t="shared" si="12"/>
        <v>3</v>
      </c>
      <c r="G21" s="2">
        <f t="shared" si="13"/>
        <v>3.8879999999999995</v>
      </c>
    </row>
    <row r="22" spans="1:7" x14ac:dyDescent="0.2">
      <c r="A22">
        <f t="shared" si="14"/>
        <v>0.96</v>
      </c>
      <c r="B22">
        <f t="shared" si="8"/>
        <v>1.2</v>
      </c>
      <c r="C22">
        <f t="shared" si="9"/>
        <v>1.1519999999999999</v>
      </c>
      <c r="D22">
        <f t="shared" si="10"/>
        <v>3</v>
      </c>
      <c r="E22">
        <f t="shared" si="11"/>
        <v>3.4559999999999995</v>
      </c>
      <c r="F22">
        <f t="shared" si="12"/>
        <v>4</v>
      </c>
      <c r="G22" s="2">
        <f t="shared" si="13"/>
        <v>6.911999999999999</v>
      </c>
    </row>
    <row r="23" spans="1:7" x14ac:dyDescent="0.2">
      <c r="A23">
        <f t="shared" si="14"/>
        <v>0.96</v>
      </c>
      <c r="B23">
        <f t="shared" si="8"/>
        <v>1.2</v>
      </c>
      <c r="C23">
        <f t="shared" si="9"/>
        <v>1.1519999999999999</v>
      </c>
      <c r="D23">
        <f t="shared" si="10"/>
        <v>3</v>
      </c>
      <c r="E23">
        <f t="shared" si="11"/>
        <v>3.4559999999999995</v>
      </c>
      <c r="F23">
        <f t="shared" si="12"/>
        <v>5</v>
      </c>
      <c r="G23" s="2">
        <f t="shared" si="13"/>
        <v>10.799999999999999</v>
      </c>
    </row>
    <row r="24" spans="1:7" x14ac:dyDescent="0.2">
      <c r="A24">
        <f t="shared" si="14"/>
        <v>0.96</v>
      </c>
      <c r="B24">
        <f t="shared" si="8"/>
        <v>1.2</v>
      </c>
      <c r="C24">
        <f t="shared" si="9"/>
        <v>1.1519999999999999</v>
      </c>
      <c r="D24">
        <f t="shared" si="10"/>
        <v>3</v>
      </c>
      <c r="E24">
        <f t="shared" si="11"/>
        <v>3.4559999999999995</v>
      </c>
      <c r="F24">
        <f t="shared" si="12"/>
        <v>6</v>
      </c>
      <c r="G24" s="2">
        <f t="shared" si="13"/>
        <v>15.551999999999998</v>
      </c>
    </row>
    <row r="25" spans="1:7" x14ac:dyDescent="0.2">
      <c r="A25">
        <f t="shared" si="14"/>
        <v>0.96</v>
      </c>
      <c r="B25">
        <f t="shared" si="8"/>
        <v>1.2</v>
      </c>
      <c r="C25">
        <f t="shared" si="9"/>
        <v>1.1519999999999999</v>
      </c>
      <c r="D25">
        <f t="shared" si="10"/>
        <v>3</v>
      </c>
      <c r="E25">
        <f t="shared" si="11"/>
        <v>3.4559999999999995</v>
      </c>
      <c r="F25">
        <f t="shared" si="12"/>
        <v>7</v>
      </c>
      <c r="G25" s="2">
        <f t="shared" si="13"/>
        <v>21.167999999999996</v>
      </c>
    </row>
    <row r="26" spans="1:7" x14ac:dyDescent="0.2">
      <c r="A26">
        <f t="shared" si="14"/>
        <v>0.96</v>
      </c>
      <c r="B26">
        <f t="shared" si="8"/>
        <v>1.2</v>
      </c>
      <c r="C26">
        <f t="shared" si="9"/>
        <v>1.1519999999999999</v>
      </c>
      <c r="D26">
        <f t="shared" si="10"/>
        <v>3</v>
      </c>
      <c r="E26">
        <f t="shared" si="11"/>
        <v>3.4559999999999995</v>
      </c>
      <c r="F26">
        <f t="shared" si="12"/>
        <v>8</v>
      </c>
      <c r="G26" s="2">
        <f t="shared" si="13"/>
        <v>27.647999999999996</v>
      </c>
    </row>
    <row r="27" spans="1:7" x14ac:dyDescent="0.2">
      <c r="A27">
        <f t="shared" si="14"/>
        <v>0.96</v>
      </c>
      <c r="B27">
        <f t="shared" si="8"/>
        <v>1.2</v>
      </c>
      <c r="C27">
        <f t="shared" si="9"/>
        <v>1.1519999999999999</v>
      </c>
      <c r="D27">
        <f t="shared" si="10"/>
        <v>3</v>
      </c>
      <c r="E27">
        <f t="shared" si="11"/>
        <v>3.4559999999999995</v>
      </c>
      <c r="F27">
        <f t="shared" si="12"/>
        <v>9</v>
      </c>
      <c r="G27" s="2">
        <f t="shared" si="13"/>
        <v>34.991999999999997</v>
      </c>
    </row>
    <row r="28" spans="1:7" x14ac:dyDescent="0.2">
      <c r="A28">
        <f t="shared" si="14"/>
        <v>0.96</v>
      </c>
      <c r="B28">
        <f t="shared" si="8"/>
        <v>1.2</v>
      </c>
      <c r="C28">
        <f t="shared" si="9"/>
        <v>1.1519999999999999</v>
      </c>
      <c r="D28">
        <f t="shared" si="10"/>
        <v>3</v>
      </c>
      <c r="E28">
        <f t="shared" si="11"/>
        <v>3.4559999999999995</v>
      </c>
      <c r="F28">
        <f t="shared" si="12"/>
        <v>10</v>
      </c>
      <c r="G28" s="2">
        <f t="shared" si="13"/>
        <v>43.199999999999996</v>
      </c>
    </row>
    <row r="29" spans="1:7" x14ac:dyDescent="0.2">
      <c r="A29">
        <f t="shared" si="14"/>
        <v>0.96</v>
      </c>
      <c r="B29">
        <f t="shared" si="8"/>
        <v>1.2</v>
      </c>
      <c r="C29">
        <f t="shared" si="9"/>
        <v>1.1519999999999999</v>
      </c>
      <c r="D29">
        <f t="shared" si="10"/>
        <v>3</v>
      </c>
      <c r="E29">
        <f t="shared" si="11"/>
        <v>3.4559999999999995</v>
      </c>
      <c r="F29">
        <f t="shared" si="12"/>
        <v>11</v>
      </c>
      <c r="G29" s="2">
        <f t="shared" si="13"/>
        <v>52.271999999999991</v>
      </c>
    </row>
    <row r="31" spans="1:7" x14ac:dyDescent="0.2">
      <c r="A31" t="s">
        <v>1</v>
      </c>
      <c r="B31" t="s">
        <v>0</v>
      </c>
      <c r="C31" t="s">
        <v>3</v>
      </c>
      <c r="D31" t="s">
        <v>10</v>
      </c>
      <c r="E31" t="s">
        <v>4</v>
      </c>
      <c r="F31" t="s">
        <v>6</v>
      </c>
      <c r="G31" t="s">
        <v>8</v>
      </c>
    </row>
    <row r="32" spans="1:7" x14ac:dyDescent="0.2">
      <c r="A32">
        <v>1.5</v>
      </c>
      <c r="B32">
        <v>1.2</v>
      </c>
      <c r="C32">
        <f>A32*B32</f>
        <v>1.7999999999999998</v>
      </c>
      <c r="D32">
        <v>3</v>
      </c>
      <c r="E32">
        <f>D32*C32</f>
        <v>5.3999999999999995</v>
      </c>
      <c r="F32">
        <v>0</v>
      </c>
      <c r="G32" s="2">
        <f>E32*F32^2/8</f>
        <v>0</v>
      </c>
    </row>
    <row r="33" spans="1:7" x14ac:dyDescent="0.2">
      <c r="A33">
        <f>A32</f>
        <v>1.5</v>
      </c>
      <c r="B33">
        <f t="shared" ref="B33:B43" si="15">B32</f>
        <v>1.2</v>
      </c>
      <c r="C33">
        <f t="shared" ref="C33:C43" si="16">C32</f>
        <v>1.7999999999999998</v>
      </c>
      <c r="D33">
        <f t="shared" ref="D33:D43" si="17">D32</f>
        <v>3</v>
      </c>
      <c r="E33">
        <f t="shared" ref="E33:E43" si="18">E32</f>
        <v>5.3999999999999995</v>
      </c>
      <c r="F33">
        <f t="shared" ref="F33:F43" si="19">F32+1</f>
        <v>1</v>
      </c>
      <c r="G33" s="2">
        <f t="shared" ref="G33:G43" si="20">E33*F33^2/8</f>
        <v>0.67499999999999993</v>
      </c>
    </row>
    <row r="34" spans="1:7" x14ac:dyDescent="0.2">
      <c r="A34">
        <f t="shared" ref="A34:A43" si="21">A33</f>
        <v>1.5</v>
      </c>
      <c r="B34">
        <f t="shared" si="15"/>
        <v>1.2</v>
      </c>
      <c r="C34">
        <f t="shared" si="16"/>
        <v>1.7999999999999998</v>
      </c>
      <c r="D34">
        <f t="shared" si="17"/>
        <v>3</v>
      </c>
      <c r="E34">
        <f t="shared" si="18"/>
        <v>5.3999999999999995</v>
      </c>
      <c r="F34">
        <f t="shared" si="19"/>
        <v>2</v>
      </c>
      <c r="G34" s="2">
        <f t="shared" si="20"/>
        <v>2.6999999999999997</v>
      </c>
    </row>
    <row r="35" spans="1:7" x14ac:dyDescent="0.2">
      <c r="A35">
        <f t="shared" si="21"/>
        <v>1.5</v>
      </c>
      <c r="B35">
        <f t="shared" si="15"/>
        <v>1.2</v>
      </c>
      <c r="C35">
        <f t="shared" si="16"/>
        <v>1.7999999999999998</v>
      </c>
      <c r="D35">
        <f t="shared" si="17"/>
        <v>3</v>
      </c>
      <c r="E35">
        <f t="shared" si="18"/>
        <v>5.3999999999999995</v>
      </c>
      <c r="F35">
        <f t="shared" si="19"/>
        <v>3</v>
      </c>
      <c r="G35" s="2">
        <f t="shared" si="20"/>
        <v>6.0749999999999993</v>
      </c>
    </row>
    <row r="36" spans="1:7" x14ac:dyDescent="0.2">
      <c r="A36">
        <f t="shared" si="21"/>
        <v>1.5</v>
      </c>
      <c r="B36">
        <f t="shared" si="15"/>
        <v>1.2</v>
      </c>
      <c r="C36">
        <f t="shared" si="16"/>
        <v>1.7999999999999998</v>
      </c>
      <c r="D36">
        <f t="shared" si="17"/>
        <v>3</v>
      </c>
      <c r="E36">
        <f t="shared" si="18"/>
        <v>5.3999999999999995</v>
      </c>
      <c r="F36">
        <f t="shared" si="19"/>
        <v>4</v>
      </c>
      <c r="G36" s="2">
        <f t="shared" si="20"/>
        <v>10.799999999999999</v>
      </c>
    </row>
    <row r="37" spans="1:7" x14ac:dyDescent="0.2">
      <c r="A37">
        <f t="shared" si="21"/>
        <v>1.5</v>
      </c>
      <c r="B37">
        <f t="shared" si="15"/>
        <v>1.2</v>
      </c>
      <c r="C37">
        <f t="shared" si="16"/>
        <v>1.7999999999999998</v>
      </c>
      <c r="D37">
        <f t="shared" si="17"/>
        <v>3</v>
      </c>
      <c r="E37">
        <f t="shared" si="18"/>
        <v>5.3999999999999995</v>
      </c>
      <c r="F37">
        <f t="shared" si="19"/>
        <v>5</v>
      </c>
      <c r="G37" s="2">
        <f t="shared" si="20"/>
        <v>16.875</v>
      </c>
    </row>
    <row r="38" spans="1:7" x14ac:dyDescent="0.2">
      <c r="A38">
        <f t="shared" si="21"/>
        <v>1.5</v>
      </c>
      <c r="B38">
        <f t="shared" si="15"/>
        <v>1.2</v>
      </c>
      <c r="C38">
        <f t="shared" si="16"/>
        <v>1.7999999999999998</v>
      </c>
      <c r="D38">
        <f t="shared" si="17"/>
        <v>3</v>
      </c>
      <c r="E38">
        <f t="shared" si="18"/>
        <v>5.3999999999999995</v>
      </c>
      <c r="F38">
        <f t="shared" si="19"/>
        <v>6</v>
      </c>
      <c r="G38" s="2">
        <f t="shared" si="20"/>
        <v>24.299999999999997</v>
      </c>
    </row>
    <row r="39" spans="1:7" x14ac:dyDescent="0.2">
      <c r="A39">
        <f t="shared" si="21"/>
        <v>1.5</v>
      </c>
      <c r="B39">
        <f t="shared" si="15"/>
        <v>1.2</v>
      </c>
      <c r="C39">
        <f t="shared" si="16"/>
        <v>1.7999999999999998</v>
      </c>
      <c r="D39">
        <f t="shared" si="17"/>
        <v>3</v>
      </c>
      <c r="E39">
        <f t="shared" si="18"/>
        <v>5.3999999999999995</v>
      </c>
      <c r="F39">
        <f t="shared" si="19"/>
        <v>7</v>
      </c>
      <c r="G39" s="2">
        <f t="shared" si="20"/>
        <v>33.074999999999996</v>
      </c>
    </row>
    <row r="40" spans="1:7" x14ac:dyDescent="0.2">
      <c r="A40">
        <f t="shared" si="21"/>
        <v>1.5</v>
      </c>
      <c r="B40">
        <f t="shared" si="15"/>
        <v>1.2</v>
      </c>
      <c r="C40">
        <f t="shared" si="16"/>
        <v>1.7999999999999998</v>
      </c>
      <c r="D40">
        <f t="shared" si="17"/>
        <v>3</v>
      </c>
      <c r="E40">
        <f t="shared" si="18"/>
        <v>5.3999999999999995</v>
      </c>
      <c r="F40">
        <f t="shared" si="19"/>
        <v>8</v>
      </c>
      <c r="G40" s="2">
        <f t="shared" si="20"/>
        <v>43.199999999999996</v>
      </c>
    </row>
    <row r="41" spans="1:7" x14ac:dyDescent="0.2">
      <c r="A41">
        <f t="shared" si="21"/>
        <v>1.5</v>
      </c>
      <c r="B41">
        <f t="shared" si="15"/>
        <v>1.2</v>
      </c>
      <c r="C41">
        <f t="shared" si="16"/>
        <v>1.7999999999999998</v>
      </c>
      <c r="D41">
        <f t="shared" si="17"/>
        <v>3</v>
      </c>
      <c r="E41">
        <f t="shared" si="18"/>
        <v>5.3999999999999995</v>
      </c>
      <c r="F41">
        <f t="shared" si="19"/>
        <v>9</v>
      </c>
      <c r="G41" s="2">
        <f t="shared" si="20"/>
        <v>54.674999999999997</v>
      </c>
    </row>
    <row r="42" spans="1:7" x14ac:dyDescent="0.2">
      <c r="A42">
        <f t="shared" si="21"/>
        <v>1.5</v>
      </c>
      <c r="B42">
        <f t="shared" si="15"/>
        <v>1.2</v>
      </c>
      <c r="C42">
        <f t="shared" si="16"/>
        <v>1.7999999999999998</v>
      </c>
      <c r="D42">
        <f t="shared" si="17"/>
        <v>3</v>
      </c>
      <c r="E42">
        <f t="shared" si="18"/>
        <v>5.3999999999999995</v>
      </c>
      <c r="F42">
        <f t="shared" si="19"/>
        <v>10</v>
      </c>
      <c r="G42" s="2">
        <f t="shared" si="20"/>
        <v>67.5</v>
      </c>
    </row>
    <row r="43" spans="1:7" x14ac:dyDescent="0.2">
      <c r="A43">
        <f t="shared" si="21"/>
        <v>1.5</v>
      </c>
      <c r="B43">
        <f t="shared" si="15"/>
        <v>1.2</v>
      </c>
      <c r="C43">
        <f t="shared" si="16"/>
        <v>1.7999999999999998</v>
      </c>
      <c r="D43">
        <f t="shared" si="17"/>
        <v>3</v>
      </c>
      <c r="E43">
        <f t="shared" si="18"/>
        <v>5.3999999999999995</v>
      </c>
      <c r="F43">
        <f t="shared" si="19"/>
        <v>11</v>
      </c>
      <c r="G43" s="2">
        <f t="shared" si="20"/>
        <v>81.674999999999997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48CC3-E89D-4EB1-B714-7A7945C73B84}">
  <sheetPr codeName="Sheet9"/>
  <dimension ref="A1"/>
  <sheetViews>
    <sheetView workbookViewId="0">
      <selection activeCell="I13" sqref="I13"/>
    </sheetView>
  </sheetViews>
  <sheetFormatPr defaultRowHeight="11.2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31</vt:i4>
      </vt:variant>
    </vt:vector>
  </HeadingPairs>
  <TitlesOfParts>
    <vt:vector size="41" baseType="lpstr">
      <vt:lpstr>Version1</vt:lpstr>
      <vt:lpstr>Version1B</vt:lpstr>
      <vt:lpstr>Version2</vt:lpstr>
      <vt:lpstr>Version3</vt:lpstr>
      <vt:lpstr>Version4</vt:lpstr>
      <vt:lpstr>Version5</vt:lpstr>
      <vt:lpstr>Version6</vt:lpstr>
      <vt:lpstr>Version20</vt:lpstr>
      <vt:lpstr>Version100</vt:lpstr>
      <vt:lpstr>Chart2</vt:lpstr>
      <vt:lpstr>Version1B!Cpe</vt:lpstr>
      <vt:lpstr>Version3!Cpe</vt:lpstr>
      <vt:lpstr>Version4!Cpe</vt:lpstr>
      <vt:lpstr>Version5!Cpe</vt:lpstr>
      <vt:lpstr>Cpe</vt:lpstr>
      <vt:lpstr>Version1B!L</vt:lpstr>
      <vt:lpstr>Version3!L</vt:lpstr>
      <vt:lpstr>Version4!L</vt:lpstr>
      <vt:lpstr>Version5!L</vt:lpstr>
      <vt:lpstr>L</vt:lpstr>
      <vt:lpstr>Version1B!M</vt:lpstr>
      <vt:lpstr>Version3!M</vt:lpstr>
      <vt:lpstr>Version4!M</vt:lpstr>
      <vt:lpstr>M</vt:lpstr>
      <vt:lpstr>Version1B!pn</vt:lpstr>
      <vt:lpstr>Version3!pn</vt:lpstr>
      <vt:lpstr>Version4!pn</vt:lpstr>
      <vt:lpstr>pn</vt:lpstr>
      <vt:lpstr>Version1B!qz</vt:lpstr>
      <vt:lpstr>Version3!qz</vt:lpstr>
      <vt:lpstr>Version4!qz</vt:lpstr>
      <vt:lpstr>Version5!qz</vt:lpstr>
      <vt:lpstr>qz</vt:lpstr>
      <vt:lpstr>Version3!s</vt:lpstr>
      <vt:lpstr>Version4!s</vt:lpstr>
      <vt:lpstr>Version5!s</vt:lpstr>
      <vt:lpstr>s</vt:lpstr>
      <vt:lpstr>Version1B!w</vt:lpstr>
      <vt:lpstr>Version3!w</vt:lpstr>
      <vt:lpstr>Version4!w</vt:lpstr>
      <vt:lpstr>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Conrad</dc:creator>
  <cp:lastModifiedBy>Conrad Harrison</cp:lastModifiedBy>
  <dcterms:created xsi:type="dcterms:W3CDTF">2016-09-02T07:14:02Z</dcterms:created>
  <dcterms:modified xsi:type="dcterms:W3CDTF">2021-10-21T13:31:04Z</dcterms:modified>
</cp:coreProperties>
</file>